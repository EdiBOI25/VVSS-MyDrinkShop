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34A244A-2839-42F5-8712-99E9854BD3A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<sst xmlns="http://schemas.openxmlformats.org/spreadsheetml/2006/main" count="182" uniqueCount="102">
  <si>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</si>
  <si>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</si>
  <si>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</si>
  <si>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</si>
  <si>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</si>
  <si>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</si>
  <si>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</si>
  <si>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</si>
  <si>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</si>
  <si>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</si>
  <si>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</si>
  <si>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</si>
  <si>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</si>
  <si>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</si>
  <si>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</si>
  <si>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</si>
  <si>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</si>
  <si>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</si>
  <si>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</si>
  <si>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</si>
  <si>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</si>
  <si>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</si>
  <si>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</si>
  <si>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</si>
  <si>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</si>
  <si>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</si>
  <si>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</si>
  <si>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</si>
  <si>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</si>
  <si>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</si>
  <si>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</si>
  <si>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</si>
  <si>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</si>
  <si>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</si>
  <si>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</si>
  <si>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</si>
  <si>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</si>
  <si>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</si>
  <si>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</si>
  <si>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</si>
  <si>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</si>
  <si>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</si>
  <si>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</si>
  <si>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F02_Cond01 &gt; 100</t>
  </si>
  <si>
    <t>F02_Cond02 &lt; 20</t>
  </si>
  <si>
    <t>F02_Cond03 == i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</si>
  <si>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</si>
  <si>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</si>
  <si>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</si>
  <si>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</si>
  <si>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</si>
  <si>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</si>
  <si>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</si>
  <si>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</si>
  <si>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</si>
  <si>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</si>
  <si>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</si>
  <si>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</si>
  <si>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</si>
  <si>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</si>
  <si>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</si>
  <si>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</si>
  <si>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</si>
  <si>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</si>
  <si>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</si>
  <si>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</si>
  <si>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</si>
  <si>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</si>
  <si>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</si>
  <si>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</si>
  <si>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</si>
  <si>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</si>
  <si>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</si>
  <si>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</si>
  <si>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</si>
  <si>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</si>
  <si>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</si>
  <si>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</si>
  <si>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</si>
  <si>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</si>
  <si>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</si>
  <si>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</si>
  <si>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</si>
  <si>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</si>
  <si>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Cioropariu Eduard</t>
  </si>
  <si>
    <t>Deonise Silviu</t>
  </si>
  <si>
    <t>Dumitriu Marian</t>
  </si>
  <si>
    <t>1. Gestionare activitati drinks shop</t>
  </si>
  <si>
    <t>Se cere realizarea unei aplicații software pentru gestionarea activității unui drinks shop, care să permită administrarea produselor vândute (băuturi), a ingredientelor utilizate, a rețetelor de preparare și a comenzilor plasate de clienți.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</si>
  <si>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produselor cu pretul dintr-un interval (pret minim, pret maxim)</t>
    </r>
  </si>
  <si>
    <t>16 - 12 + 2 = 6</t>
  </si>
  <si>
    <t>5 + 1 = 6</t>
  </si>
  <si>
    <t>1(T) - 2 - END</t>
  </si>
  <si>
    <t>1(F) - 3(T) - 4 - END</t>
  </si>
  <si>
    <t>F02_P04</t>
  </si>
  <si>
    <t>F02_P05</t>
  </si>
  <si>
    <t>F02_P06</t>
  </si>
  <si>
    <t>1(F) - 3(F) - 5(T) - 6 - END</t>
  </si>
  <si>
    <t>1(F) - 3(F) - 5(F) - 7 - 8(F) - 11 - END</t>
  </si>
  <si>
    <t>1(F) - 3(F) - 5(F) - 7 - 8(T) - 9(F) - 8(F) - 11 - END</t>
  </si>
  <si>
    <t>F02. cautarea produselor cu pretul dintr-un interval (pret minim, pret maxim)</t>
  </si>
  <si>
    <t>1(F) - 3(F) - 5(F) - 7 - 8(T) - 9(T) - 10 - 8(F) - 11 -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</si>
</sst>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" Type="http://schemas.openxmlformats.org/officeDocument/2006/relationships/image" Target="../media/image2.png"/><Relationship Id="rId21" Type="http://schemas.openxmlformats.org/officeDocument/2006/relationships/customXml" Target="../ink/ink10.xml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1</xdr:rowOff>
    </xdr:from>
    <xdr:to>
      <xdr:col>7</xdr:col>
      <xdr:colOff>444960</xdr:colOff>
      <xdr:row>20</xdr:row>
      <xdr:rowOff>124559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CCE0C-DB33-F63A-1598-484B3CC7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333501"/>
          <a:ext cx="4672594" cy="2601058"/>
        </a:xfrm>
        <a:prstGeom prst="rect">
          <a:avLst/>
        </a:prstGeom>
      </xdr:spPr>
    </xdr:pic>
    <xdr:clientData/>
  </xdr:twoCellAnchor>
  <xdr:twoCellAnchor editAs="oneCell">
    <xdr:from>
      <xdr:col>0</xdr:col>
      <xdr:colOff>108000</xdr:colOff>
      <xdr:row>7</xdr:row>
      <xdr:rowOff>163740</xdr:rowOff>
    </xdr:from>
    <xdr:to>
      <xdr:col>0</xdr:col>
      <xdr:colOff>156240</xdr:colOff>
      <xdr:row>8</xdr:row>
      <xdr:rowOff>77640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9BACD5E-5E41-E23C-8A6E-CD47914B2E83}"/>
                </a:ext>
              </a:extLst>
            </xdr14:cNvPr>
            <xdr14:cNvContentPartPr/>
          </xdr14:nvContentPartPr>
          <xdr14:nvPr macro=""/>
          <xdr14:xfrm>
            <a:off x="108000" y="1497240"/>
            <a:ext cx="48240" cy="1044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9BACD5E-5E41-E23C-8A6E-CD47914B2E8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1880" y="1491120"/>
              <a:ext cx="6048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116640</xdr:colOff>
      <xdr:row>9</xdr:row>
      <xdr:rowOff>28980</xdr:rowOff>
    </xdr:from>
    <xdr:to>
      <xdr:col>0</xdr:col>
      <xdr:colOff>359280</xdr:colOff>
      <xdr:row>10</xdr:row>
      <xdr:rowOff>55920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72B4C70-482A-04AB-F2FB-73CCF32766D9}"/>
                </a:ext>
              </a:extLst>
            </xdr14:cNvPr>
            <xdr14:cNvContentPartPr/>
          </xdr14:nvContentPartPr>
          <xdr14:nvPr macro=""/>
          <xdr14:xfrm>
            <a:off x="116640" y="1743480"/>
            <a:ext cx="242640" cy="2174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72B4C70-482A-04AB-F2FB-73CCF32766D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0511" y="1737360"/>
              <a:ext cx="254898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106920</xdr:colOff>
      <xdr:row>11</xdr:row>
      <xdr:rowOff>138300</xdr:rowOff>
    </xdr:from>
    <xdr:to>
      <xdr:col>0</xdr:col>
      <xdr:colOff>173880</xdr:colOff>
      <xdr:row>12</xdr:row>
      <xdr:rowOff>82800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3257D24-5822-A31F-8B34-A6342332A767}"/>
                </a:ext>
              </a:extLst>
            </xdr14:cNvPr>
            <xdr14:cNvContentPartPr/>
          </xdr14:nvContentPartPr>
          <xdr14:nvPr macro=""/>
          <xdr14:xfrm>
            <a:off x="106920" y="2233800"/>
            <a:ext cx="66960" cy="13500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3257D24-5822-A31F-8B34-A6342332A76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0800" y="2227696"/>
              <a:ext cx="79200" cy="1472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303120</xdr:colOff>
      <xdr:row>12</xdr:row>
      <xdr:rowOff>103680</xdr:rowOff>
    </xdr:from>
    <xdr:to>
      <xdr:col>0</xdr:col>
      <xdr:colOff>354960</xdr:colOff>
      <xdr:row>13</xdr:row>
      <xdr:rowOff>33420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D6FF4EE-879D-C7F8-C3DF-90CD13D63500}"/>
                </a:ext>
              </a:extLst>
            </xdr14:cNvPr>
            <xdr14:cNvContentPartPr/>
          </xdr14:nvContentPartPr>
          <xdr14:nvPr macro=""/>
          <xdr14:xfrm>
            <a:off x="303120" y="2389680"/>
            <a:ext cx="51840" cy="1202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D6FF4EE-879D-C7F8-C3DF-90CD13D6350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7000" y="2383560"/>
              <a:ext cx="6408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133920</xdr:colOff>
      <xdr:row>14</xdr:row>
      <xdr:rowOff>84840</xdr:rowOff>
    </xdr:from>
    <xdr:to>
      <xdr:col>0</xdr:col>
      <xdr:colOff>211680</xdr:colOff>
      <xdr:row>15</xdr:row>
      <xdr:rowOff>4860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848F83C-58E9-D84E-B91E-F12FA9EAD84D}"/>
                </a:ext>
              </a:extLst>
            </xdr14:cNvPr>
            <xdr14:cNvContentPartPr/>
          </xdr14:nvContentPartPr>
          <xdr14:nvPr macro=""/>
          <xdr14:xfrm>
            <a:off x="133920" y="2751840"/>
            <a:ext cx="77760" cy="11052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848F83C-58E9-D84E-B91E-F12FA9EAD84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7800" y="2745720"/>
              <a:ext cx="9000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306000</xdr:colOff>
      <xdr:row>15</xdr:row>
      <xdr:rowOff>178020</xdr:rowOff>
    </xdr:from>
    <xdr:to>
      <xdr:col>0</xdr:col>
      <xdr:colOff>568080</xdr:colOff>
      <xdr:row>17</xdr:row>
      <xdr:rowOff>27420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7342375-5CF6-CFB6-3548-2C2AF4C7E674}"/>
                </a:ext>
              </a:extLst>
            </xdr14:cNvPr>
            <xdr14:cNvContentPartPr/>
          </xdr14:nvContentPartPr>
          <xdr14:nvPr macro=""/>
          <xdr14:xfrm>
            <a:off x="306000" y="3035520"/>
            <a:ext cx="262080" cy="23040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7342375-5CF6-CFB6-3548-2C2AF4C7E67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9880" y="3029400"/>
              <a:ext cx="27432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103680</xdr:colOff>
      <xdr:row>19</xdr:row>
      <xdr:rowOff>18300</xdr:rowOff>
    </xdr:from>
    <xdr:to>
      <xdr:col>0</xdr:col>
      <xdr:colOff>217080</xdr:colOff>
      <xdr:row>19</xdr:row>
      <xdr:rowOff>136380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BE533B4-53E4-8439-FDCE-4EA67F6FB4C4}"/>
                </a:ext>
              </a:extLst>
            </xdr14:cNvPr>
            <xdr14:cNvContentPartPr/>
          </xdr14:nvContentPartPr>
          <xdr14:nvPr macro=""/>
          <xdr14:xfrm>
            <a:off x="103680" y="3637800"/>
            <a:ext cx="113400" cy="1180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BE533B4-53E4-8439-FDCE-4EA67F6FB4C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7541" y="3631680"/>
              <a:ext cx="125679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129854</xdr:colOff>
      <xdr:row>8</xdr:row>
      <xdr:rowOff>82320</xdr:rowOff>
    </xdr:from>
    <xdr:to>
      <xdr:col>3</xdr:col>
      <xdr:colOff>198974</xdr:colOff>
      <xdr:row>8</xdr:row>
      <xdr:rowOff>173400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2B843574-5CCB-5420-C11F-B72D509B0D0D}"/>
                </a:ext>
              </a:extLst>
            </xdr14:cNvPr>
            <xdr14:cNvContentPartPr/>
          </xdr14:nvContentPartPr>
          <xdr14:nvPr macro=""/>
          <xdr14:xfrm>
            <a:off x="1974240" y="1606320"/>
            <a:ext cx="69120" cy="9108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2B843574-5CCB-5420-C11F-B72D509B0D0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68120" y="1600200"/>
              <a:ext cx="8136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142560</xdr:colOff>
      <xdr:row>15</xdr:row>
      <xdr:rowOff>52380</xdr:rowOff>
    </xdr:from>
    <xdr:to>
      <xdr:col>0</xdr:col>
      <xdr:colOff>196560</xdr:colOff>
      <xdr:row>15</xdr:row>
      <xdr:rowOff>171900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A3C5DC1-B471-7431-B6BB-F21E8DC3D5ED}"/>
                </a:ext>
              </a:extLst>
            </xdr14:cNvPr>
            <xdr14:cNvContentPartPr/>
          </xdr14:nvContentPartPr>
          <xdr14:nvPr macro=""/>
          <xdr14:xfrm>
            <a:off x="142560" y="2909880"/>
            <a:ext cx="54000" cy="11952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7A3C5DC1-B471-7431-B6BB-F21E8DC3D5E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6440" y="2903760"/>
              <a:ext cx="6624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</xdr:colOff>
      <xdr:row>8</xdr:row>
      <xdr:rowOff>0</xdr:rowOff>
    </xdr:from>
    <xdr:to>
      <xdr:col>15</xdr:col>
      <xdr:colOff>8284</xdr:colOff>
      <xdr:row>42</xdr:row>
      <xdr:rowOff>16565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7CA3B6E0-E817-DD06-A07E-214F3551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2373" y="1524000"/>
          <a:ext cx="4161182" cy="64935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256740</xdr:colOff>
      <xdr:row>34</xdr:row>
      <xdr:rowOff>119520</xdr:rowOff>
    </xdr:from>
    <xdr:to>
      <xdr:col>10</xdr:col>
      <xdr:colOff>440340</xdr:colOff>
      <xdr:row>35</xdr:row>
      <xdr:rowOff>97500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001FEBB-4AF4-3E9D-5373-F9F06702E0AB}"/>
                </a:ext>
              </a:extLst>
            </xdr14:cNvPr>
            <xdr14:cNvContentPartPr/>
          </xdr14:nvContentPartPr>
          <xdr14:nvPr macro=""/>
          <xdr14:xfrm>
            <a:off x="6265654" y="6596520"/>
            <a:ext cx="183600" cy="16848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001FEBB-4AF4-3E9D-5373-F9F06702E0A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259534" y="6590400"/>
              <a:ext cx="195840" cy="1807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193854</xdr:colOff>
      <xdr:row>34</xdr:row>
      <xdr:rowOff>113570</xdr:rowOff>
    </xdr:from>
    <xdr:ext cx="341632" cy="254557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6F37F9C-32C2-71C0-931E-C25D42C8021F}"/>
            </a:ext>
          </a:extLst>
        </xdr:cNvPr>
        <xdr:cNvSpPr/>
      </xdr:nvSpPr>
      <xdr:spPr>
        <a:xfrm>
          <a:off x="6202768" y="6590570"/>
          <a:ext cx="341632" cy="2545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10</a:t>
          </a:r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4:27.847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1 159 24575,'6'-6'0,"0"0"0,0 0 0,-1-1 0,10-14 0,-3 4 0,9-14 0,28-32 0,-49 63 0,0 0 0,0 0 0,1 0 0,-1 0 0,0-1 0,0 1 0,0 0 0,0 0 0,0 0 0,0 0 0,1 0 0,-1 0 0,0 0 0,0 0 0,0 0 0,0-1 0,1 1 0,-1 0 0,0 0 0,0 0 0,0 0 0,0 0 0,1 0 0,-1 0 0,0 0 0,0 0 0,0 0 0,0 0 0,1 0 0,-1 0 0,0 1 0,0-1 0,0 0 0,0 0 0,1 0 0,-1 0 0,0 0 0,0 0 0,0 0 0,0 0 0,0 0 0,1 1 0,-1-1 0,0 0 0,0 0 0,0 0 0,0 0 0,0 0 0,0 1 0,0-1 0,0 0 0,0 0 0,0 0 0,0 0 0,1 1 0,-1-1 0,0 0 0,3 19 0,-1 19 0,-3 180-1365,1-207-5461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4:37.341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 16 24575,'37'-7'0,"18"-1"0,-53 8 0,0 0 0,0 0 0,0 0 0,0 0 0,0 1 0,0-1 0,0 1 0,0-1 0,0 1 0,0 0 0,-1-1 0,1 1 0,0 0 0,0 0 0,-1 1 0,1-1 0,-1 0 0,1 0 0,-1 1 0,1-1 0,-1 1 0,2 2 0,-3-3 0,0 0 0,0-1 0,0 1 0,0 0 0,0 0 0,0-1 0,0 1 0,-1 0 0,1-1 0,0 1 0,0 0 0,-1-1 0,1 1 0,-1 0 0,1-1 0,0 1 0,-1-1 0,1 1 0,-1-1 0,1 1 0,-1-1 0,1 1 0,-1-1 0,0 1 0,1-1 0,-1 0 0,0 1 0,0-1 0,-30 18 0,14-8 0,-34 19 0,104-20 0,-47-8 0,4 2 0,1-1 0,-1 2 0,0-1 0,16 9 0,-25-12 0,0 1 0,0-1 0,0 1 0,0 0 0,-1-1 0,1 1 0,0-1 0,-1 1 0,1 0 0,0 0 0,-1-1 0,1 1 0,-1 0 0,1 0 0,-1 0 0,1 0 0,-1 0 0,0 0 0,1-1 0,-1 1 0,0 0 0,0 0 0,0 0 0,1 1 0,-2 0 0,0 0 0,0 0 0,0-1 0,0 1 0,0 0 0,0-1 0,0 1 0,0-1 0,0 1 0,-1-1 0,1 1 0,-1-1 0,1 0 0,-1 0 0,0 0 0,1 0 0,-4 1 0,-13 8-341,-1 0 0,0-2-1,-39 12 1,48-17-6485</inkml:trace>
  <inkml:trace contextRef="#ctx0" brushRef="#br0" timeOffset="1448.04">518 364 24575,'-11'46'0,"9"-42"0,0 1 0,1-1 0,-1 1 0,1-1 0,0 1 0,0 0 0,1 0 0,-1-1 0,1 1 0,0 0 0,1 6 0,0-10 0,0 0 0,0 0 0,-1 1 0,1-1 0,0 0 0,0 0 0,1 0 0,-1-1 0,0 1 0,0 0 0,0 0 0,0-1 0,1 1 0,-1 0 0,0-1 0,1 1 0,-1-1 0,0 0 0,1 1 0,-1-1 0,1 0 0,-1 0 0,1 0 0,1 0 0,44-2 0,-33 1 0,59 1-1365,-63 0-5461</inkml:trace>
  <inkml:trace contextRef="#ctx0" brushRef="#br0" timeOffset="2083.17">614 377 24575,'0'216'-1365,"0"-205"-5461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4:44.207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40 37 24575,'-1'17'0,"2"0"0,0 0 0,0 0 0,2 0 0,7 28 0,-10-44 0,0-1 0,1 1 0,-1 0 0,1 0 0,-1-1 0,1 1 0,-1 0 0,1-1 0,0 1 0,-1 0 0,1-1 0,0 1 0,-1-1 0,1 1 0,0-1 0,0 0 0,-1 1 0,1-1 0,0 0 0,0 1 0,0-1 0,0 0 0,0 0 0,-1 0 0,1 0 0,2 0 0,28-4 0,5-1 0,-35 5 0,0 0 0,0 0 0,1 0 0,-1 0 0,0 1 0,0-1 0,1 0 0,-1 1 0,0-1 0,0 1 0,0-1 0,0 1 0,1 0 0,-1 0 0,0-1 0,0 1 0,0 0 0,-1 0 0,1 0 0,0 0 0,0 0 0,0 0 0,0 1 0,3 9 0,-1 0 0,0 0 0,0 0 0,-2 0 0,1 1 0,-1-1 0,-1 1 0,-1 14 0,1-23 0,0 1 0,0-1 0,-1 0 0,1 0 0,-1 0 0,0 0 0,0 0 0,0 0 0,0 0 0,0 0 0,-1 0 0,0 0 0,1-1 0,-1 1 0,0-1 0,0 1 0,0-1 0,0 0 0,-1 0 0,1 0 0,-1 0 0,1 0 0,-1 0 0,0-1 0,0 1 0,1-1 0,-1 0 0,0 1 0,0-2 0,0 1 0,-1 0 0,-4 0 0,1-1 0,1 0 0,-1 0 0,1-1 0,0 0 0,-1 0 0,1 0 0,0-1 0,0 0 0,0 0 0,0-1 0,0 0 0,0 0 0,1 0 0,0 0 0,-8-7 0,6 5-1365,1 0-5461</inkml:trace>
  <inkml:trace contextRef="#ctx0" brushRef="#br0" timeOffset="1569.07">64 0 24575,'2'0'0,"2"0"0,4 0 0,1 0 0,2 0 0,1 0 0,1 0 0,-1 0 0,1 0 0,-1 0 0,0 0 0,-1 0-8191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4:48.158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144 1 24575,'-5'0'0,"0"0"0,0 0 0,0 1 0,-1-1 0,1 2 0,0-1 0,1 0 0,-1 1 0,0 0 0,0 0 0,1 0 0,-1 1 0,1-1 0,-1 1 0,1 0 0,0 1 0,0-1 0,1 1 0,-1-1 0,1 1 0,-5 7 0,4-4 0,0 1 0,0 0 0,0 0 0,1 1 0,0-1 0,1 1 0,0-1 0,1 1 0,-1 0 0,1 0 0,1 14 0,-5 24 0,3-39 0,1-1 0,0 1 0,0 0 0,1 0 0,1 14 0,-1-20 0,1 1 0,-1-1 0,1 1 0,0-1 0,0 1 0,0-1 0,1 0 0,-1 1 0,1-1 0,-1 0 0,1 0 0,0 0 0,-1 0 0,1 0 0,0 0 0,0-1 0,0 1 0,1 0 0,-1-1 0,0 0 0,4 2 0,-4-2 0,1 1 0,-1-1 0,0 0 0,1 0 0,-1 0 0,1 0 0,-1 0 0,1-1 0,-1 1 0,1-1 0,-1 0 0,1 1 0,-1-1 0,1 0 0,0-1 0,-1 1 0,1 0 0,-1-1 0,1 1 0,-1-1 0,1 0 0,-1 0 0,3-1 0,-2-1 0,-1 1 0,0-1 0,-1 1 0,1-1 0,0 0 0,-1 1 0,1-1 0,-1 0 0,0 0 0,0 0 0,0 0 0,-1 0 0,1-1 0,-1 1 0,1 0 0,-1 0 0,0 0 0,-1-6 0,1 6 0,1-5 0,-1 0 0,-1 0 0,1 0 0,-1-1 0,-1 1 0,1 0 0,-4-10 0,3 16 0,1 0 0,-1-1 0,1 1 0,-1 0 0,0 0 0,0 0 0,0 0 0,0 1 0,0-1 0,-1 0 0,1 1 0,0-1 0,-1 1 0,1 0 0,-1 0 0,1 0 0,-1 0 0,0 0 0,1 1 0,-1-1 0,0 1 0,1 0 0,-1 0 0,0 0 0,-4 0 0,-17 0-1365,14 0-5461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4:53.063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 17 24575,'64'-8'0,"-55"5"0,0 1 0,0 1 0,1-1 0,-1 2 0,0-1 0,1 1 0,-1 1 0,1-1 0,-1 2 0,12 2 0,-20-3 0,0-1 0,0 1 0,0 0 0,0 0 0,-1-1 0,1 1 0,0 0 0,-1 0 0,1 0 0,-1 0 0,1 0 0,-1 0 0,1 0 0,-1 0 0,1 0 0,-1 0 0,0 0 0,0 0 0,1 0 0,-1 0 0,0 0 0,0 0 0,0 0 0,0 0 0,0 1 0,-1-1 0,1 0 0,0 0 0,0 0 0,-1 0 0,1 0 0,-1 1 0,-18 44 0,12-30 0,-53 181-1365,57-190-5461</inkml:trace>
  <inkml:trace contextRef="#ctx0" brushRef="#br0" timeOffset="1009.01">61 173 24575,'2'0'0,"3"0"0,2 0 0,1-2 0,0-1 0,1 1 0,1 0 0,1 0 0,1 1 0,-2-1 0,-1-1 0,1 0 0,0 1 0,1 1 0,0 0 0,1 1 0,-2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5:01.009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220 83 24575,'-4'-8'0,"0"1"0,-1-1 0,0 2 0,-1-1 0,1 0 0,-10-7 0,14 13 0,-1-2 0,0 1 0,0 0 0,-1 0 0,1 0 0,-1 0 0,1 1 0,-1-1 0,1 1 0,-1-1 0,0 1 0,0 0 0,0 0 0,0 0 0,0 1 0,0-1 0,-4 0 0,5 1 0,0 1 0,0-1 0,0 0 0,1 1 0,-1 0 0,0-1 0,1 1 0,-1 0 0,0 0 0,1 0 0,-1 0 0,1 0 0,0 0 0,-1 0 0,1 0 0,0 1 0,-1-1 0,1 0 0,0 1 0,0-1 0,0 1 0,0 0 0,1-1 0,-1 1 0,0 0 0,1-1 0,-1 1 0,0 2 0,-1 3 0,0 0 0,0 0 0,1 0 0,0 0 0,0 0 0,0 0 0,1 0 0,0 1 0,1 6 0,0-12 0,0 1 0,-1-1 0,1 0 0,0 0 0,0 0 0,0 0 0,1 0 0,-1 0 0,0 0 0,1 0 0,-1 0 0,1 0 0,0-1 0,0 1 0,-1-1 0,1 1 0,0-1 0,0 0 0,0 0 0,1 0 0,-1 0 0,0 0 0,0 0 0,1 0 0,-1-1 0,0 1 0,1-1 0,-1 0 0,0 0 0,5 0 0,-5 1 0,0-1 0,1 0 0,-1 0 0,1 0 0,-1 0 0,1 0 0,-1 0 0,1-1 0,-1 1 0,0-1 0,1 0 0,-1 1 0,0-1 0,1 0 0,-1-1 0,0 1 0,0 0 0,0 0 0,0-1 0,2-2 0,-2 2 0,-1-1 0,1 0 0,-1 0 0,0 0 0,0 1 0,0-2 0,0 1 0,0 0 0,-1 0 0,1 0 0,-1 0 0,0 0 0,0 0 0,0 0 0,-1-5 0,2 25 0,-1-1 0,-1 1 0,0-1 0,-2 0 0,1 1 0,-2-1 0,-5 15 0,7-29 0,0 0 0,1 0 0,-1 0 0,0-1 0,0 1 0,0-1 0,-1 1 0,1-1 0,0 0 0,0 0 0,-1 0 0,1 0 0,-1 0 0,1-1 0,0 1 0,-1-1 0,1 1 0,-1-1 0,0 0 0,1 0 0,-4-1 0,-61-2 0,60 2 0,1 0-195,1 0 0,0 0 0,0-1 0,0 0 0,0 0 0,-9-5 0,7 4-6631</inkml:trace>
  <inkml:trace contextRef="#ctx0" brushRef="#br0" timeOffset="1378.25">461 552 24575,'0'-21'0,"1"0"0,1 0 0,1 0 0,0 0 0,2 1 0,10-31 0,1 134 0,-15-20 90,-2-53-333,1 1 1,0 0-1,0-1 1,1 1-1,3 12 1,-1-15-6584</inkml:trace>
  <inkml:trace contextRef="#ctx0" brushRef="#br0" timeOffset="2557.36">617 419 24575,'-12'145'0,"12"-142"0,-1 0 0,1 0 0,1 0 0,-1 0 0,0 0 0,1 0 0,0 0 0,-1 0 0,1 0 0,0-1 0,0 1 0,1 0 0,-1 0 0,1-1 0,-1 1 0,1-1 0,0 0 0,0 1 0,0-1 0,0 0 0,0 0 0,0 0 0,1 0 0,-1-1 0,1 1 0,-1-1 0,1 1 0,0-1 0,-1 0 0,1 0 0,0 0 0,0 0 0,0-1 0,0 1 0,0-1 0,0 1 0,0-1 0,0 0 0,0-1 0,0 1 0,0 0 0,0-1 0,0 1 0,-1-1 0,5-1 0,-5 0 0,0 1 0,0-1 0,0 1 0,0-1 0,-1 0 0,1 1 0,0-1 0,-1 0 0,1 0 0,-1 0 0,1-1 0,-1 1 0,0 0 0,0 0 0,0-1 0,-1 1 0,1-1 0,0 1 0,-1 0 0,1-1 0,-1 1 0,0-4 0,0-64 0,-1 47 0,1 20 0,0 1 0,0-1 0,0 0 0,0 0 0,0 1 0,-1-1 0,1 0 0,-1 1 0,0-1 0,0 0 0,0 1 0,0-1 0,0 1 0,0-1 0,-1 1 0,1 0 0,-1-1 0,0 1 0,0 0 0,0 0 0,0 0 0,0 1 0,0-1 0,0 0 0,0 1 0,-1-1 0,1 1 0,-4-2 0,-17-12 0,11 4-101,-15-9 324,26 19-254,1 1-1,-1 0 1,1 0-1,-1 0 0,0 0 1,1 0-1,-1 0 0,1 0 1,-1 0-1,0 0 0,1 0 1,-1 0-1,1 0 0,-1 0 1,0 1-1,1-1 0,-1 0 1,1 0-1,-1 1 0,1-1 1,-1 0-1,1 1 1,-1-1-1,1 0 0,-1 1 1,1-1-1,-1 1 0,1-1 1,0 1-1,-1-1 0,1 1 1,0-1-1,0 1 0,-1-1 1,1 1-1,0 0 0,0-1 1,0 1-1,-1-1 1,1 1-1,0 0 0,0-1 1,0 1-1,0-1 0,0 1 1,0 1-1,-1 7-6794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5:06.58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1 214 24575,'3'-15'0,"0"0"0,2 0 0,0 0 0,0 1 0,1 0 0,1 0 0,17-26 0,-24 40 0,0 0 0,1 0 0,-1 0 0,1 0 0,-1 0 0,0 0 0,1 1 0,-1-1 0,0 0 0,1 0 0,-1 0 0,1 1 0,-1-1 0,0 0 0,0 0 0,1 1 0,-1-1 0,0 0 0,1 1 0,-1-1 0,0 0 0,0 1 0,0-1 0,1 0 0,-1 1 0,0-1 0,0 0 0,0 1 0,0-1 0,0 1 0,0-1 0,0 0 0,0 1 0,0-1 0,0 1 0,0-1 0,0 0 0,0 1 0,0 0 0,5 19 0,-1 25 0,5 93 0,-7-105-1365,1-25-5461</inkml:trace>
  <inkml:trace contextRef="#ctx0" brushRef="#br0" timeOffset="1559.2">193 178 24575,'4'-4'0,"1"0"0,-1-1 0,-1 1 0,1-1 0,-1 0 0,0 0 0,0 0 0,4-8 0,-5 8 0,73-116 0,-75 121 0,0-1 0,0 1 0,0 0 0,0 0 0,0 0 0,0 0 0,1 0 0,-1 0 0,0 0 0,0 0 0,0 0 0,0 0 0,0 0 0,0 0 0,1 0 0,-1 0 0,0 0 0,0 0 0,0 0 0,0 0 0,0 0 0,1 0 0,-1 0 0,0 0 0,0 0 0,0 0 0,0 0 0,0 0 0,0 0 0,0 0 0,1 0 0,-1 1 0,0-1 0,0 0 0,0 0 0,0 0 0,0 0 0,0 0 0,0 0 0,0 0 0,0 0 0,0 1 0,1-1 0,-1 0 0,0 0 0,0 0 0,0 0 0,0 0 0,0 0 0,0 1 0,0-1 0,0 0 0,0 0 0,0 0 0,0 0 0,0 0 0,0 0 0,0 1 0,0-1 0,0 0 0,0 0 0,0 0 0,-1 0 0,1 0 0,0 0 0,0 1 0,3 19 0,-2 22 0,-1 176-1365,0-207-5461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5:35.117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72 24575,'0'-3'0,"0"0"0,1 0 0,-1-1 0,1 1 0,0 0 0,0 0 0,0 0 0,0 0 0,0 0 0,0 0 0,1 1 0,-1-1 0,1 0 0,0 1 0,0-1 0,0 1 0,0-1 0,1 1 0,-1 0 0,1 0 0,-1 0 0,1 0 0,-1 1 0,1-1 0,5-1 0,-6 2 0,1 0 0,-1 1 0,0-1 0,0 1 0,1 0 0,-1 0 0,0 0 0,1 0 0,-1 0 0,0 0 0,0 0 0,1 1 0,-1-1 0,0 1 0,0 0 0,0 0 0,1 0 0,-1 0 0,0 0 0,0 0 0,0 0 0,-1 1 0,1-1 0,0 1 0,0-1 0,-1 1 0,1 0 0,-1-1 0,0 1 0,1 0 0,-1 0 0,0 0 0,0 0 0,0 0 0,0 1 0,0 2 0,1 0 0,-1 0 0,0 1 0,0-1 0,0 1 0,-1-1 0,0 1 0,0-1 0,0 1 0,-1-1 0,0 1 0,0-1 0,0 1 0,-1-1 0,0 0 0,0 0 0,0 1 0,0-1 0,-1-1 0,0 1 0,-5 6 0,0 1 0,-1-1 0,-1 0 0,0-1 0,0 0 0,-1 0 0,-20 13 0,31-23 0,0 0 0,0 0 0,0 1 0,0-1 0,-1 0 0,1 0 0,0 0 0,0 0 0,0 0 0,0 0 0,0 1 0,0-1 0,0 0 0,0 0 0,0 0 0,0 0 0,0 0 0,0 0 0,0 1 0,0-1 0,0 0 0,0 0 0,0 0 0,0 0 0,0 0 0,0 0 0,0 0 0,1 1 0,-1-1 0,0 0 0,0 0 0,0 0 0,0 0 0,0 0 0,0 0 0,0 0 0,0 0 0,0 1 0,1-1 0,-1 0 0,0 0 0,0 0 0,0 0 0,0 0 0,0 0 0,0 0 0,0 0 0,1 0 0,-1 0 0,0 0 0,0 0 0,0 0 0,0 0 0,0 0 0,0 0 0,1 0 0,-1 0 0,0 0 0,0 0 0,0 0 0,0 0 0,0 0 0,0 0 0,1 0 0,-1 0 0,0-1 0,0 1 0,20 3 0,22-2 0,68-1-1365,-100 0-5461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05:55.734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85 143 24575,'-2'0'0,"0"-1"0,0 0 0,0 1 0,0-1 0,0 0 0,1 0 0,-1 0 0,0 0 0,0 0 0,1 0 0,-1-1 0,0 1 0,1 0 0,0-1 0,-1 1 0,1-1 0,0 0 0,0 1 0,0-1 0,-2-3 0,1 2 0,0-1 0,0 0 0,1 1 0,-1-1 0,1 0 0,0 0 0,0 0 0,0 0 0,0-5 0,2 4 0,0 1 0,0 0 0,0 0 0,0 0 0,0 0 0,1 0 0,0 0 0,0 0 0,0 1 0,0-1 0,0 1 0,1-1 0,5-5 0,-7 8 0,0 0 0,0 0 0,0 0 0,0 1 0,0-1 0,0 0 0,0 0 0,0 1 0,0-1 0,0 1 0,1-1 0,-1 1 0,0-1 0,0 1 0,1 0 0,-1-1 0,0 1 0,0 0 0,1 0 0,-1 0 0,0 0 0,0 0 0,1 0 0,-1 0 0,0 1 0,0-1 0,1 0 0,-1 1 0,0-1 0,0 1 0,0-1 0,1 1 0,-1 0 0,0 0 0,0-1 0,0 1 0,0 0 0,0 0 0,-1 0 0,1 0 0,0 0 0,0 0 0,-1 0 0,1 0 0,0 0 0,-1 0 0,1 2 0,1 0 0,0 0 0,0 1 0,0-1 0,-1 0 0,0 1 0,0-1 0,0 1 0,0-1 0,0 1 0,-1-1 0,1 1 0,-1 0 0,0-1 0,0 1 0,-1 0 0,1-1 0,-1 1 0,1 0 0,-1-1 0,0 1 0,-1-1 0,-2 6 0,-2 1 0,-1 0 0,0-1 0,-1 0 0,0-1 0,-16 14 0,-3 4 0,25-25 0,-2 3 0,0-1 0,1 1 0,-1 0 0,1 0 0,0 1 0,0-1 0,-2 6 0,4-9 0,1 1 0,-1 0 0,1 0 0,0 0 0,0 0 0,0-1 0,0 1 0,0 0 0,0 0 0,0 0 0,0 0 0,1-1 0,-1 1 0,1 0 0,-1 0 0,1-1 0,0 1 0,0 0 0,0-1 0,0 1 0,0 0 0,0-1 0,0 0 0,2 3 0,2 1 0,1-1 0,-1 1 0,1-1 0,-1 0 0,1 0 0,0-1 0,9 4 0,-12-5 0,1-1 0,0 1 0,-1-1 0,1 0 0,0 0 0,0 0 0,0 0 0,0-1 0,0 1 0,0-1 0,-1 0 0,1 0 0,0-1 0,5 0 0,-8-1 0,1 1 0,0-1 0,0 0 0,-1 0 0,1 0 0,-1 0 0,0 0 0,0 0 0,1 0 0,-1-1 0,-1 1 0,1 0 0,0-1 0,0 1 0,-1 0 0,0-1 0,1 1 0,-1-1 0,0 1 0,0-1 0,0 1 0,-1-5 0,1 4 0,0 0 0,0 0 0,0 0 0,0 0 0,-1 0 0,0 0 0,1 0 0,-1 0 0,0 0 0,0 0 0,-1 0 0,1 0 0,-1 0 0,1 1 0,-1-1 0,0 0 0,-3-3 0,-22-5 6,23 10-143,0 0-1,0-1 1,0 0 0,0 0 0,0 0 0,1 0 0,-1-1 0,0 1 0,-5-7 0,4 4-6689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6T10:57:49.048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209 424 24575,'3'0'0,"-1"-1"0,1 1 0,-1-1 0,1 0 0,-1 0 0,1 0 0,-1 0 0,1 0 0,-1 0 0,0-1 0,0 1 0,1-1 0,-1 1 0,0-1 0,-1 0 0,1 0 0,0 0 0,0 0 0,1-4 0,30-52 0,-18 28 0,-5 11 0,-2 0 0,-1-1 0,0 0 0,7-38 0,-12 46 0,-2 11 0,1 1 0,-1-1 0,0 1 0,0-1 0,0 1 0,0-1 0,0 0 0,0 1 0,0-1 0,-1 1 0,1-1 0,0 1 0,0-1 0,0 1 0,0-1 0,-1 1 0,1-1 0,0 1 0,-1-1 0,1 1 0,0-1 0,-1 1 0,1-1 0,0 1 0,-1 0 0,1-1 0,-1 1 0,1 0 0,-1-1 0,1 1 0,-1 0 0,1 0 0,-1-1 0,1 1 0,-1 0 0,1 0 0,-1 0 0,1 0 0,-1 0 0,1 0 0,-1 0 0,0 0 0,1 0 0,-1 0 0,1 0 0,-1 0 0,1 0 0,-1 0 0,1 0 0,-1 1 0,1-1 0,-1 0 0,1 0 0,-2 1 0,-43 15 0,28-10 0,-28 8 0,42-13 0,5 0 0,25-6 0,-5 1 0,0 0 0,0 2 0,32 1 0,-161 1 0,57 1 0,39-1 0,14 0 0,192 0 0,-254 25 0,9-10 0,100-9 0,-49-6 0,58 1 0,-52 2 0,-39 4 0,12-3 0,19-1 0,32-3 0,-4-2 0,-60 1 0,-10 0 0,-28 0 0,51 2 0,20-1 0,0 0 0,0 0 0,0 0 0,0 0 0,0 0 0,0 0 0,0 0 0,1 0 0,-1 0 0,0 1 0,0-1 0,0 0 0,0 0 0,0 0 0,0 0 0,0 0 0,0 0 0,0 0 0,0 0 0,0 0 0,0 0 0,0 0 0,0 1 0,0-1 0,1 0 0,-1 0 0,0 0 0,0 0 0,0 0 0,0 0 0,0 0 0,0 0 0,0 1 0,0-1 0,0 0 0,0 0 0,0 0 0,-1 0 0,1 0 0,35 8 0,-25-6 0,1 0 0,-1 1 0,20 7 0,-84-7 0,-51-3 0,164 24 0,-17-15 0,-32-8 0,1 1 0,-1 0 0,0 0 0,0 1 0,0 1 0,0 0 0,9 5 0,-18-9 0,-1 1 0,0-1 0,1 0 0,-1 0 0,0 0 0,0 0 0,0 1 0,1-1 0,-1 0 0,0 0 0,0 1 0,0-1 0,0 0 0,1 0 0,-1 1 0,0-1 0,0 0 0,0 1 0,0-1 0,0 0 0,0 0 0,0 1 0,0-1 0,0 0 0,0 1 0,0-1 0,0 0 0,0 0 0,0 1 0,0-1 0,0 0 0,0 1 0,0-1 0,0 0 0,0 0 0,0 1 0,-1-1 0,1 1 0,-13 10 0,-22 6 0,31-16 0,-1 2 0,-1-1 0,1 1 0,0 0 0,0 0 0,0 1 0,-7 6 0,12-10 0,-1 1 0,1-1 0,-1 1 0,1-1 0,-1 1 0,1 0 0,0-1 0,-1 1 0,1-1 0,0 1 0,-1 0 0,1-1 0,0 1 0,0 0 0,0-1 0,0 1 0,0 0 0,0-1 0,0 1 0,0 0 0,0-1 0,0 1 0,0 0 0,1 1 0,-1-1 0,1 0 0,1 1 0,-1-1 0,0 0 0,0 0 0,0 0 0,1 0 0,-1 0 0,0 0 0,1 0 0,-1 0 0,1-1 0,-1 1 0,1 0 0,2 0 0,66 17 0,-133-22 0,-1-5 0,116 24 0,-39-15 0,-8 0 0,-1 0 0,0 0 0,0 0 0,0 1 0,0-1 0,0 1 0,0 0 0,0 0 0,0 0 0,6 4 0,-52 1 0,-47-7 0,118 6 0,-21-2 0,0-2 0,0 1 0,0-1 0,0 0 0,1-1 0,10-1 0,-19 1 0,1 0 0,-1 0 0,0 0 0,1 0 0,-1 0 0,0 0 0,0 0 0,1 0 0,-1 0 0,0-1 0,1 1 0,-1 0 0,0 0 0,1 0 0,-1-1 0,0 1 0,0 0 0,1 0 0,-1-1 0,0 1 0,0 0 0,0 0 0,0-1 0,1 1 0,-1 0 0,0-1 0,0 1 0,0 0 0,0-1 0,0 1 0,0 0 0,0-1 0,0 1 0,0 0 0,0-1 0,0 1 0,0 0 0,0-1 0,-9-16 0,-23-15 0,28 29 0,-18-22 0,1-1 0,1 0 0,-32-57 0,41 65 0,4 4 0,9 13 0,14 22 0,-15-29 0,0 0 0,-1 0 0,0 0 0,-1 0 0,-1-9 0,-6-34 0,8 41 0,-1 1 0,-1 0 0,0 0 0,0 0 0,-1 0 0,-5-14 0,8 23 0,-1-1 0,1 1 0,-1-1 0,1 1 0,-1-1 0,1 1 0,-1 0 0,0-1 0,1 1 0,-1 0 0,1-1 0,-1 1 0,0 0 0,1 0 0,-1-1 0,0 1 0,1 0 0,-1 0 0,0 0 0,1 0 0,-1 0 0,0 0 0,1 0 0,-1 0 0,0 0 0,1 0 0,-1 1 0,0-1 0,1 0 0,-1 0 0,0 1 0,1-1 0,-1 0 0,1 1 0,-1-1 0,1 0 0,-1 1 0,1-1 0,-1 1 0,1-1 0,-1 1 0,0 0 0,-30 31 0,17-18 0,-61 27 0,105-57 0,0 1 0,43-13 0,-62 24 0,1 0 0,0 1 0,0 1 0,0 0 0,0 1 0,0 0 0,0 1 0,0 0 0,0 1 0,18 3 0,-29-4 0,1 0 0,0 1 0,-1-1 0,1 1 0,0-1 0,-1 1 0,1 0 0,-1-1 0,1 1 0,-1 0 0,1 0 0,-1 0 0,1 1 0,-1-1 0,0 0 0,0 0 0,0 1 0,0-1 0,0 1 0,0-1 0,0 1 0,0-1 0,0 1 0,-1-1 0,1 1 0,-1 0 0,1 0 0,-1-1 0,0 1 0,1 0 0,-1-1 0,0 1 0,0 0 0,0 0 0,0 0 0,-1-1 0,1 1 0,-1 2 0,0-1 0,0 0 0,0 0 0,-1 0 0,1 0 0,-1 0 0,1 0 0,-1-1 0,0 1 0,0 0 0,0-1 0,-1 0 0,1 1 0,0-1 0,-1 0 0,0 0 0,1-1 0,-1 1 0,0 0 0,0-1 0,-3 2 0,-12 2 0,0-1 0,0-1 0,0-1 0,0 0 0,-1-1 0,1-1 0,-21-2 0,38 2 0,-1 0 0,1 0 0,-1 0 0,1-1 0,0 1 0,-1 0 0,1 0 0,0-1 0,-1 1 0,1-1 0,0 1 0,0-1 0,-1 0 0,1 1 0,0-1 0,0 0 0,0 0 0,0 0 0,0 0 0,0 0 0,0 0 0,0 0 0,0 0 0,1 0 0,-1 0 0,0 0 0,1-1 0,-1 1 0,1 0 0,-1 0 0,1-1 0,-1 1 0,1 0 0,0-1 0,0 1 0,0-1 0,0 1 0,0 0 0,0-1 0,0 1 0,0 0 0,0-1 0,1 1 0,-1 0 0,1-1 0,-1 1 0,2-3 0,-1 0 0,1 0 0,0 0 0,0 0 0,1 0 0,-1 0 0,1 1 0,0-1 0,0 1 0,0 0 0,0-1 0,0 1 0,1 1 0,6-5 0,6 0 0,1 1 0,-1 0 0,1 2 0,0 0 0,0 0 0,1 2 0,-1 0 0,31 2 0,-47 0 0,1 0 0,0 1 0,0 0 0,-1-1 0,1 1 0,0 0 0,-1 0 0,1 0 0,-1 0 0,1 0 0,-1 0 0,1 0 0,-1 1 0,0-1 0,0 0 0,1 1 0,-1-1 0,0 1 0,-1-1 0,1 1 0,0 0 0,0-1 0,0 1 0,-1 0 0,1 0 0,-1-1 0,0 1 0,1 0 0,-1 0 0,0 2 0,1 2 0,-1 0 0,0 0 0,0 0 0,0 0 0,-1 0 0,0 0 0,0-1 0,-2 8 0,3-13 0,-1 1 0,1-1 0,0 1 0,0-1 0,0 0 0,0 1 0,-1-1 0,1 1 0,0-1 0,0 0 0,-1 1 0,1-1 0,0 0 0,-1 1 0,1-1 0,-1 0 0,1 1 0,0-1 0,-1 0 0,1 0 0,-1 0 0,1 1 0,0-1 0,-1 0 0,1 0 0,-1 0 0,1 0 0,-1 0 0,1 0 0,-1 0 0,1 0 0,-1 0 0,1 0 0,-1 0 0,1 0 0,0 0 0,-1 0 0,0 0 0,-20-15 0,-11-26 0,31 39 0,0 0 0,0 0 0,0 0 0,1 0 0,-1 0 0,1 0 0,-1 0 0,1 0 0,0 0 0,0 0 0,0-1 0,0 1 0,0 0 0,1 0 0,-1 0 0,1 0 0,-1 0 0,1 0 0,0 0 0,-1 0 0,1 0 0,0 0 0,3-3 0,-1 1 0,0 1 0,1 0 0,-1 0 0,1 1 0,0-1 0,0 1 0,-1 0 0,2 0 0,-1 0 0,8-3 0,7 0 0,0 1 0,1 1 0,-1 0 0,27 1 0,-40 3 0,0 0 0,0 0 0,0 1 0,0-1 0,0 2 0,8 3 0,7 10 0,-21-15 0,0 0 0,1-1 0,-1 1 0,0 0 0,0-1 0,0 1 0,1 0 0,-1-1 0,0 1 0,0 0 0,0 0 0,0-1 0,0 1 0,0 0 0,-1-1 0,1 1 0,0 0 0,0-1 0,0 1 0,-1 0 0,1-1 0,0 1 0,-1 0 0,1-1 0,0 1 0,-1-1 0,1 1 0,-1-1 0,1 1 0,-2 0 0,-1 1-11,0 0-1,0 0 0,0-1 0,0 1 1,0-1-1,0 0 0,0 0 1,-5 1-1,-2 1-1248,-1 0-5566</inkml:trace>
  <inkml:trace contextRef="#ctx0" brushRef="#br0" timeOffset="2472.96">315 303 24575,'-1'2'0,"1"-1"0,-1 1 0,0-1 0,0 1 0,1-1 0,-1 1 0,0-1 0,0 1 0,0-1 0,-1 0 0,1 1 0,0-1 0,0 0 0,-1 0 0,1 0 0,-1 0 0,1 0 0,-1-1 0,-2 2 0,-39 17 0,33-15 0,8-3 0,-27 10 0,29-10 0,-1-1 0,0 1 0,1-1 0,-1 1 0,1-1 0,-1 0 0,0 0 0,1 1 0,-1-1 0,0 0 0,1 0 0,-1 0 0,0 1 0,1-1 0,-1 0 0,0 0 0,0 0 0,1 0 0,-1 0 0,0 0 0,1-1 0,-1 1 0,0 0 0,1 0 0,-1 0 0,0-1 0,-1 0 0,4-1 0,0 1 0,-1-1 0,1 0 0,0 0 0,0 1 0,0-1 0,0 1 0,0-1 0,0 1 0,0 0 0,0 0 0,1 0 0,-1 0 0,0 0 0,1 1 0,2-1 0,41-9 0,-41 9-105,0 0 0,0 1 0,0-1 0,0 1 0,-1 1 0,1-1 0,0 0 0,0 1 0,0 0 0,-1 0 0,1 1 0,6 2 0,-1 3-6721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5" sqref="B15"/>
    </sheetView>
  </sheetViews>
  <sheetFormatPr defaultColWidth="8.85546875" defaultRowHeight="15" x14ac:dyDescent="0.25"/>
  <cols>
    <col min="14" max="14" width="14.85546875" customWidth="1"/>
    <col min="15" max="15" width="19.5703125" customWidth="1"/>
  </cols>
  <sheetData>
    <row r="1" spans="2:16" x14ac:dyDescent="0.25">
      <c r="B1" s="12"/>
      <c r="D1" s="42" t="s">
        <v>0</v>
      </c>
      <c r="E1" s="43"/>
      <c r="F1" s="43"/>
      <c r="G1" s="44"/>
    </row>
    <row r="2" spans="2:16" x14ac:dyDescent="0.25">
      <c r="B2" s="41" t="s">
        <v>1</v>
      </c>
    </row>
    <row r="4" spans="2:16" x14ac:dyDescent="0.25">
      <c r="B4" s="1" t="s">
        <v>2</v>
      </c>
      <c r="N4" s="5" t="s">
        <v>3</v>
      </c>
      <c r="O4" s="5"/>
      <c r="P4" s="5"/>
    </row>
    <row r="5" spans="2:16" x14ac:dyDescent="0.25">
      <c r="B5" s="1" t="s">
        <v>4</v>
      </c>
      <c r="N5" s="37" t="s">
        <v>5</v>
      </c>
      <c r="O5" s="37"/>
      <c r="P5" s="37"/>
    </row>
    <row r="6" spans="2:16" x14ac:dyDescent="0.25">
      <c r="B6" s="1" t="s">
        <v>6</v>
      </c>
      <c r="N6" s="29"/>
      <c r="O6" s="29" t="s">
        <v>7</v>
      </c>
      <c r="P6" s="29" t="s">
        <v>8</v>
      </c>
    </row>
    <row r="7" spans="2:16" x14ac:dyDescent="0.25">
      <c r="B7" s="1"/>
      <c r="C7" s="1"/>
      <c r="D7" s="1"/>
      <c r="E7" s="1"/>
      <c r="N7" s="29" t="s">
        <v>9</v>
      </c>
      <c r="O7" s="29" t="s">
        <v>84</v>
      </c>
      <c r="P7" s="29">
        <v>232</v>
      </c>
    </row>
    <row r="8" spans="2:16" x14ac:dyDescent="0.25">
      <c r="B8" s="1"/>
      <c r="C8" s="1"/>
      <c r="D8" s="1"/>
      <c r="E8" s="1"/>
      <c r="N8" s="29" t="s">
        <v>10</v>
      </c>
      <c r="O8" s="29" t="s">
        <v>85</v>
      </c>
      <c r="P8" s="29">
        <v>232</v>
      </c>
    </row>
    <row r="9" spans="2:16" x14ac:dyDescent="0.25">
      <c r="B9" t="s">
        <v>87</v>
      </c>
      <c r="C9" s="1"/>
      <c r="D9" s="1"/>
      <c r="E9" s="1"/>
      <c r="N9" s="29" t="s">
        <v>11</v>
      </c>
      <c r="O9" s="29" t="s">
        <v>86</v>
      </c>
      <c r="P9" s="29">
        <v>232</v>
      </c>
    </row>
    <row r="10" spans="2:16" x14ac:dyDescent="0.25">
      <c r="B10" t="s">
        <v>88</v>
      </c>
      <c r="C10" s="1"/>
      <c r="D10" s="1"/>
      <c r="E10" s="1"/>
    </row>
    <row r="11" spans="2:16" x14ac:dyDescent="0.25">
      <c r="B11" s="39" t="s">
        <v>89</v>
      </c>
      <c r="C11" s="1"/>
      <c r="D11" s="1"/>
      <c r="E11" s="1"/>
    </row>
    <row r="12" spans="2:16" x14ac:dyDescent="0.25">
      <c r="C12" s="1"/>
      <c r="D12" s="1"/>
      <c r="E12" s="1"/>
    </row>
    <row r="19" spans="2:2" x14ac:dyDescent="0.25">
      <c r="B19" s="1"/>
    </row>
    <row r="20" spans="2:2" x14ac:dyDescent="0.2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abSelected="1" topLeftCell="A13" zoomScale="115" zoomScaleNormal="115" workbookViewId="0">
      <selection activeCell="U24" sqref="U24"/>
    </sheetView>
  </sheetViews>
  <sheetFormatPr defaultColWidth="8.85546875" defaultRowHeight="15" x14ac:dyDescent="0.25"/>
  <cols>
    <col min="2" max="2" width="10" customWidth="1"/>
    <col min="8" max="8" width="8.85546875" customWidth="1"/>
    <col min="17" max="17" width="10.5703125" customWidth="1"/>
    <col min="20" max="20" width="27.7109375" customWidth="1"/>
  </cols>
  <sheetData>
    <row r="1" spans="2:20" x14ac:dyDescent="0.25">
      <c r="B1" s="12"/>
      <c r="D1" s="42" t="s">
        <v>0</v>
      </c>
      <c r="E1" s="43"/>
      <c r="F1" s="43"/>
      <c r="G1" s="43"/>
      <c r="H1" s="43"/>
      <c r="I1" s="44"/>
    </row>
    <row r="3" spans="2:20" x14ac:dyDescent="0.25">
      <c r="B3" s="108" t="s">
        <v>100</v>
      </c>
      <c r="C3" s="46"/>
      <c r="D3" s="46"/>
      <c r="E3" s="46"/>
      <c r="F3" s="46"/>
      <c r="G3" s="46"/>
      <c r="H3" s="46"/>
      <c r="I3" s="46"/>
      <c r="J3" s="46"/>
      <c r="K3" s="47"/>
    </row>
    <row r="6" spans="2:20" x14ac:dyDescent="0.25">
      <c r="B6" s="42" t="s">
        <v>12</v>
      </c>
      <c r="C6" s="43"/>
      <c r="D6" s="43"/>
      <c r="E6" s="44"/>
      <c r="F6" s="33"/>
      <c r="G6" s="33"/>
      <c r="I6" s="42" t="s">
        <v>13</v>
      </c>
      <c r="J6" s="43"/>
      <c r="K6" s="43"/>
      <c r="L6" s="43"/>
      <c r="M6" s="43"/>
      <c r="N6" s="43"/>
      <c r="O6" s="43"/>
      <c r="Q6" s="42" t="s">
        <v>14</v>
      </c>
      <c r="R6" s="43"/>
      <c r="S6" s="43"/>
      <c r="T6" s="43"/>
    </row>
    <row r="8" spans="2:20" x14ac:dyDescent="0.25">
      <c r="B8" s="34" t="s">
        <v>15</v>
      </c>
      <c r="C8" s="59" t="s">
        <v>16</v>
      </c>
      <c r="D8" s="59"/>
      <c r="E8" s="59"/>
      <c r="F8" s="35"/>
      <c r="G8" s="35"/>
      <c r="I8" s="12" t="s">
        <v>17</v>
      </c>
      <c r="Q8" s="58" t="s">
        <v>18</v>
      </c>
      <c r="R8" s="58"/>
      <c r="S8" s="58"/>
      <c r="T8" s="36">
        <v>6</v>
      </c>
    </row>
    <row r="9" spans="2:20" x14ac:dyDescent="0.25">
      <c r="B9" s="37" t="s">
        <v>20</v>
      </c>
      <c r="C9" s="48" t="s">
        <v>19</v>
      </c>
      <c r="D9" s="48"/>
      <c r="E9" s="48"/>
      <c r="F9" s="38"/>
      <c r="G9" s="38"/>
      <c r="I9" s="40"/>
      <c r="Q9" s="58" t="s">
        <v>21</v>
      </c>
      <c r="R9" s="58"/>
      <c r="S9" s="58"/>
      <c r="T9" s="36" t="s">
        <v>90</v>
      </c>
    </row>
    <row r="10" spans="2:20" x14ac:dyDescent="0.25">
      <c r="B10" s="37" t="s">
        <v>22</v>
      </c>
      <c r="C10" s="48" t="s">
        <v>19</v>
      </c>
      <c r="D10" s="48"/>
      <c r="E10" s="48"/>
      <c r="F10" s="38"/>
      <c r="G10" s="38"/>
      <c r="I10" s="49" t="s">
        <v>23</v>
      </c>
      <c r="J10" s="50"/>
      <c r="K10" s="50"/>
      <c r="L10" s="50"/>
      <c r="M10" s="50"/>
      <c r="N10" s="50"/>
      <c r="O10" s="51"/>
      <c r="Q10" s="58" t="s">
        <v>24</v>
      </c>
      <c r="R10" s="58" t="s">
        <v>25</v>
      </c>
      <c r="S10" s="58"/>
      <c r="T10" s="36" t="s">
        <v>91</v>
      </c>
    </row>
    <row r="11" spans="2:20" x14ac:dyDescent="0.25">
      <c r="B11" s="37" t="s">
        <v>26</v>
      </c>
      <c r="C11" s="48" t="s">
        <v>19</v>
      </c>
      <c r="D11" s="48"/>
      <c r="E11" s="48"/>
      <c r="F11" s="38"/>
      <c r="G11" s="38"/>
      <c r="I11" s="52"/>
      <c r="J11" s="53"/>
      <c r="K11" s="53"/>
      <c r="L11" s="53"/>
      <c r="M11" s="53"/>
      <c r="N11" s="53"/>
      <c r="O11" s="54"/>
    </row>
    <row r="12" spans="2:20" x14ac:dyDescent="0.25">
      <c r="B12" s="37" t="s">
        <v>27</v>
      </c>
      <c r="C12" s="48" t="s">
        <v>19</v>
      </c>
      <c r="D12" s="48"/>
      <c r="E12" s="48"/>
      <c r="F12" s="38"/>
      <c r="G12" s="38"/>
      <c r="I12" s="52"/>
      <c r="J12" s="53"/>
      <c r="K12" s="53"/>
      <c r="L12" s="53"/>
      <c r="M12" s="53"/>
      <c r="N12" s="53"/>
      <c r="O12" s="54"/>
    </row>
    <row r="13" spans="2:20" x14ac:dyDescent="0.25">
      <c r="B13" s="37" t="s">
        <v>28</v>
      </c>
      <c r="C13" s="48" t="s">
        <v>19</v>
      </c>
      <c r="D13" s="48"/>
      <c r="E13" s="48"/>
      <c r="F13" s="38"/>
      <c r="G13" s="38"/>
      <c r="I13" s="52"/>
      <c r="J13" s="53"/>
      <c r="K13" s="53"/>
      <c r="L13" s="53"/>
      <c r="M13" s="53"/>
      <c r="N13" s="53"/>
      <c r="O13" s="54"/>
      <c r="Q13" s="42" t="s">
        <v>29</v>
      </c>
      <c r="R13" s="43"/>
      <c r="S13" s="43"/>
      <c r="T13" s="43"/>
    </row>
    <row r="14" spans="2:20" x14ac:dyDescent="0.25">
      <c r="B14" s="37" t="s">
        <v>27</v>
      </c>
      <c r="C14" s="48" t="s">
        <v>19</v>
      </c>
      <c r="D14" s="48"/>
      <c r="E14" s="48"/>
      <c r="F14" s="38"/>
      <c r="G14" s="38"/>
      <c r="I14" s="52"/>
      <c r="J14" s="53"/>
      <c r="K14" s="53"/>
      <c r="L14" s="53"/>
      <c r="M14" s="53"/>
      <c r="N14" s="53"/>
      <c r="O14" s="54"/>
    </row>
    <row r="15" spans="2:20" x14ac:dyDescent="0.25">
      <c r="I15" s="52"/>
      <c r="J15" s="53"/>
      <c r="K15" s="53"/>
      <c r="L15" s="53"/>
      <c r="M15" s="53"/>
      <c r="N15" s="53"/>
      <c r="O15" s="54"/>
      <c r="Q15" s="34" t="s">
        <v>30</v>
      </c>
      <c r="R15" s="59" t="s">
        <v>31</v>
      </c>
      <c r="S15" s="59"/>
      <c r="T15" s="59"/>
    </row>
    <row r="16" spans="2:20" x14ac:dyDescent="0.25">
      <c r="I16" s="52"/>
      <c r="J16" s="53"/>
      <c r="K16" s="53"/>
      <c r="L16" s="53"/>
      <c r="M16" s="53"/>
      <c r="N16" s="53"/>
      <c r="O16" s="54"/>
      <c r="Q16" s="37" t="s">
        <v>32</v>
      </c>
      <c r="R16" s="45" t="s">
        <v>92</v>
      </c>
      <c r="S16" s="45"/>
      <c r="T16" s="45"/>
    </row>
    <row r="17" spans="9:20" x14ac:dyDescent="0.25">
      <c r="I17" s="52"/>
      <c r="J17" s="53"/>
      <c r="K17" s="53"/>
      <c r="L17" s="53"/>
      <c r="M17" s="53"/>
      <c r="N17" s="53"/>
      <c r="O17" s="54"/>
      <c r="Q17" s="37" t="s">
        <v>33</v>
      </c>
      <c r="R17" s="45" t="s">
        <v>93</v>
      </c>
      <c r="S17" s="45"/>
      <c r="T17" s="45"/>
    </row>
    <row r="18" spans="9:20" x14ac:dyDescent="0.25">
      <c r="I18" s="52"/>
      <c r="J18" s="53"/>
      <c r="K18" s="53"/>
      <c r="L18" s="53"/>
      <c r="M18" s="53"/>
      <c r="N18" s="53"/>
      <c r="O18" s="54"/>
      <c r="Q18" s="37" t="s">
        <v>34</v>
      </c>
      <c r="R18" s="45" t="s">
        <v>97</v>
      </c>
      <c r="S18" s="45"/>
      <c r="T18" s="45"/>
    </row>
    <row r="19" spans="9:20" x14ac:dyDescent="0.25">
      <c r="I19" s="52"/>
      <c r="J19" s="53"/>
      <c r="K19" s="53"/>
      <c r="L19" s="53"/>
      <c r="M19" s="53"/>
      <c r="N19" s="53"/>
      <c r="O19" s="54"/>
      <c r="Q19" s="37" t="s">
        <v>94</v>
      </c>
      <c r="R19" s="45" t="s">
        <v>98</v>
      </c>
      <c r="S19" s="45"/>
      <c r="T19" s="45"/>
    </row>
    <row r="20" spans="9:20" x14ac:dyDescent="0.25">
      <c r="I20" s="52"/>
      <c r="J20" s="53"/>
      <c r="K20" s="53"/>
      <c r="L20" s="53"/>
      <c r="M20" s="53"/>
      <c r="N20" s="53"/>
      <c r="O20" s="54"/>
      <c r="Q20" s="37" t="s">
        <v>95</v>
      </c>
      <c r="R20" s="45" t="s">
        <v>99</v>
      </c>
      <c r="S20" s="45"/>
      <c r="T20" s="45"/>
    </row>
    <row r="21" spans="9:20" x14ac:dyDescent="0.25">
      <c r="I21" s="52"/>
      <c r="J21" s="53"/>
      <c r="K21" s="53"/>
      <c r="L21" s="53"/>
      <c r="M21" s="53"/>
      <c r="N21" s="53"/>
      <c r="O21" s="54"/>
      <c r="Q21" s="37" t="s">
        <v>96</v>
      </c>
      <c r="R21" s="45" t="s">
        <v>101</v>
      </c>
      <c r="S21" s="45"/>
      <c r="T21" s="45"/>
    </row>
    <row r="22" spans="9:20" x14ac:dyDescent="0.25">
      <c r="I22" s="52"/>
      <c r="J22" s="53"/>
      <c r="K22" s="53"/>
      <c r="L22" s="53"/>
      <c r="M22" s="53"/>
      <c r="N22" s="53"/>
      <c r="O22" s="54"/>
      <c r="Q22" s="37"/>
      <c r="R22" s="45"/>
      <c r="S22" s="45"/>
      <c r="T22" s="45"/>
    </row>
    <row r="23" spans="9:20" x14ac:dyDescent="0.25">
      <c r="I23" s="52"/>
      <c r="J23" s="53"/>
      <c r="K23" s="53"/>
      <c r="L23" s="53"/>
      <c r="M23" s="53"/>
      <c r="N23" s="53"/>
      <c r="O23" s="54"/>
      <c r="Q23" s="37"/>
      <c r="R23" s="45"/>
      <c r="S23" s="45"/>
      <c r="T23" s="45"/>
    </row>
    <row r="24" spans="9:20" x14ac:dyDescent="0.25">
      <c r="I24" s="55"/>
      <c r="J24" s="56"/>
      <c r="K24" s="56"/>
      <c r="L24" s="56"/>
      <c r="M24" s="56"/>
      <c r="N24" s="56"/>
      <c r="O24" s="57"/>
      <c r="Q24" s="37"/>
      <c r="R24" s="45"/>
      <c r="S24" s="45"/>
      <c r="T24" s="45"/>
    </row>
  </sheetData>
  <mergeCells count="27">
    <mergeCell ref="R22:T22"/>
    <mergeCell ref="R23:T23"/>
    <mergeCell ref="R24:T24"/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B3" sqref="B3:F3"/>
    </sheetView>
  </sheetViews>
  <sheetFormatPr defaultColWidth="8.85546875" defaultRowHeight="15" x14ac:dyDescent="0.2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 x14ac:dyDescent="0.25">
      <c r="B1" s="12"/>
      <c r="D1" s="42" t="s">
        <v>0</v>
      </c>
      <c r="E1" s="43"/>
      <c r="F1" s="43"/>
      <c r="G1" s="44"/>
    </row>
    <row r="3" spans="2:28" x14ac:dyDescent="0.25">
      <c r="B3" s="108" t="s">
        <v>100</v>
      </c>
      <c r="C3" s="46"/>
      <c r="D3" s="46"/>
      <c r="E3" s="46"/>
      <c r="F3" s="47"/>
    </row>
    <row r="5" spans="2:28" x14ac:dyDescent="0.25">
      <c r="B5" s="11"/>
    </row>
    <row r="6" spans="2:28" ht="15.75" x14ac:dyDescent="0.25">
      <c r="B6" s="60" t="s">
        <v>35</v>
      </c>
      <c r="C6" s="60" t="s">
        <v>36</v>
      </c>
      <c r="D6" s="61" t="s">
        <v>37</v>
      </c>
      <c r="E6" s="60" t="s">
        <v>38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spans="2:28" ht="15.75" x14ac:dyDescent="0.25">
      <c r="B7" s="60"/>
      <c r="C7" s="60"/>
      <c r="D7" s="62"/>
      <c r="E7" s="68" t="s">
        <v>39</v>
      </c>
      <c r="F7" s="67" t="s">
        <v>40</v>
      </c>
      <c r="G7" s="67"/>
      <c r="H7" s="67"/>
      <c r="I7" s="67"/>
      <c r="J7" s="67"/>
      <c r="K7" s="67"/>
      <c r="L7" s="67"/>
      <c r="M7" s="67"/>
      <c r="N7" s="67"/>
      <c r="O7" s="67"/>
      <c r="P7" s="64" t="s">
        <v>41</v>
      </c>
      <c r="Q7" s="64"/>
      <c r="R7" s="64"/>
      <c r="S7" s="64"/>
      <c r="T7" s="64"/>
      <c r="U7" s="64"/>
      <c r="V7" s="63" t="s">
        <v>42</v>
      </c>
      <c r="W7" s="63"/>
      <c r="X7" s="63"/>
      <c r="Y7" s="63"/>
      <c r="Z7" s="63"/>
      <c r="AA7" s="63"/>
      <c r="AB7" s="63"/>
    </row>
    <row r="8" spans="2:28" ht="15.6" customHeight="1" x14ac:dyDescent="0.25">
      <c r="B8" s="60"/>
      <c r="C8" s="65" t="s">
        <v>19</v>
      </c>
      <c r="D8" s="65" t="s">
        <v>19</v>
      </c>
      <c r="E8" s="68"/>
      <c r="F8" s="67" t="s">
        <v>43</v>
      </c>
      <c r="G8" s="67"/>
      <c r="H8" s="67" t="s">
        <v>44</v>
      </c>
      <c r="I8" s="67"/>
      <c r="J8" s="67" t="s">
        <v>45</v>
      </c>
      <c r="K8" s="67"/>
      <c r="L8" s="67" t="s">
        <v>19</v>
      </c>
      <c r="M8" s="67"/>
      <c r="N8" s="67" t="s">
        <v>46</v>
      </c>
      <c r="O8" s="67"/>
      <c r="P8" s="64" t="s">
        <v>32</v>
      </c>
      <c r="Q8" s="64" t="s">
        <v>33</v>
      </c>
      <c r="R8" s="64" t="s">
        <v>19</v>
      </c>
      <c r="S8" s="64" t="s">
        <v>19</v>
      </c>
      <c r="T8" s="64" t="s">
        <v>19</v>
      </c>
      <c r="U8" s="64" t="s">
        <v>47</v>
      </c>
      <c r="V8" s="63">
        <v>0</v>
      </c>
      <c r="W8" s="63">
        <v>1</v>
      </c>
      <c r="X8" s="63">
        <v>2</v>
      </c>
      <c r="Y8" s="63" t="s">
        <v>48</v>
      </c>
      <c r="Z8" s="63" t="s">
        <v>49</v>
      </c>
      <c r="AA8" s="63" t="s">
        <v>50</v>
      </c>
      <c r="AB8" s="63" t="s">
        <v>51</v>
      </c>
    </row>
    <row r="9" spans="2:28" ht="15.75" x14ac:dyDescent="0.25">
      <c r="B9" s="60"/>
      <c r="C9" s="66"/>
      <c r="D9" s="66"/>
      <c r="E9" s="68"/>
      <c r="F9" s="13" t="s">
        <v>52</v>
      </c>
      <c r="G9" s="13" t="s">
        <v>53</v>
      </c>
      <c r="H9" s="13" t="s">
        <v>52</v>
      </c>
      <c r="I9" s="13" t="s">
        <v>53</v>
      </c>
      <c r="J9" s="13" t="s">
        <v>52</v>
      </c>
      <c r="K9" s="13" t="s">
        <v>53</v>
      </c>
      <c r="L9" s="13" t="s">
        <v>52</v>
      </c>
      <c r="M9" s="13" t="s">
        <v>53</v>
      </c>
      <c r="N9" s="13" t="s">
        <v>52</v>
      </c>
      <c r="O9" s="13" t="s">
        <v>53</v>
      </c>
      <c r="P9" s="64"/>
      <c r="Q9" s="64"/>
      <c r="R9" s="64"/>
      <c r="S9" s="64"/>
      <c r="T9" s="64"/>
      <c r="U9" s="64"/>
      <c r="V9" s="63"/>
      <c r="W9" s="63"/>
      <c r="X9" s="63"/>
      <c r="Y9" s="63"/>
      <c r="Z9" s="63"/>
      <c r="AA9" s="63"/>
      <c r="AB9" s="63"/>
    </row>
    <row r="10" spans="2:28" ht="15.75" x14ac:dyDescent="0.25">
      <c r="B10" s="14" t="s">
        <v>54</v>
      </c>
      <c r="C10" s="14" t="s">
        <v>19</v>
      </c>
      <c r="D10" s="15" t="s">
        <v>19</v>
      </c>
      <c r="E10" s="16" t="s">
        <v>55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75" x14ac:dyDescent="0.25">
      <c r="B11" s="14" t="s">
        <v>56</v>
      </c>
      <c r="C11" s="14" t="s">
        <v>19</v>
      </c>
      <c r="D11" s="15" t="s">
        <v>19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75" x14ac:dyDescent="0.25">
      <c r="B12" s="14" t="s">
        <v>19</v>
      </c>
      <c r="C12" s="20"/>
      <c r="D12" s="2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75" x14ac:dyDescent="0.25">
      <c r="B13" s="14" t="s">
        <v>19</v>
      </c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15.75" x14ac:dyDescent="0.25">
      <c r="B14" s="14" t="s">
        <v>19</v>
      </c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15.75" x14ac:dyDescent="0.25">
      <c r="B15" s="14" t="s">
        <v>19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75" x14ac:dyDescent="0.25">
      <c r="B16" s="22"/>
    </row>
  </sheetData>
  <mergeCells count="30">
    <mergeCell ref="C8:C9"/>
    <mergeCell ref="N8:O8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E16" sqref="E16"/>
    </sheetView>
  </sheetViews>
  <sheetFormatPr defaultColWidth="8.85546875" defaultRowHeight="15" x14ac:dyDescent="0.2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 x14ac:dyDescent="0.25">
      <c r="B1" s="12"/>
      <c r="D1" s="42" t="s">
        <v>0</v>
      </c>
      <c r="E1" s="43"/>
      <c r="F1" s="43"/>
      <c r="G1" s="44"/>
    </row>
    <row r="3" spans="2:14" x14ac:dyDescent="0.25">
      <c r="B3" s="71" t="s">
        <v>57</v>
      </c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2:14" x14ac:dyDescent="0.25">
      <c r="B4" s="72" t="s">
        <v>58</v>
      </c>
      <c r="C4" s="81" t="s">
        <v>59</v>
      </c>
      <c r="D4" s="83" t="s">
        <v>60</v>
      </c>
      <c r="E4" s="74" t="s">
        <v>61</v>
      </c>
      <c r="F4" s="80"/>
      <c r="G4" s="80"/>
      <c r="H4" s="80"/>
      <c r="I4" s="80"/>
      <c r="J4" s="75"/>
      <c r="K4" s="74" t="s">
        <v>62</v>
      </c>
      <c r="L4" s="75"/>
    </row>
    <row r="5" spans="2:14" ht="15.75" thickBot="1" x14ac:dyDescent="0.3">
      <c r="B5" s="73"/>
      <c r="C5" s="82"/>
      <c r="D5" s="84"/>
      <c r="E5" s="2" t="s">
        <v>19</v>
      </c>
      <c r="F5" s="2" t="s">
        <v>19</v>
      </c>
      <c r="G5" s="2" t="s">
        <v>19</v>
      </c>
      <c r="H5" s="2" t="s">
        <v>19</v>
      </c>
      <c r="I5" s="76" t="s">
        <v>19</v>
      </c>
      <c r="J5" s="77"/>
      <c r="K5" s="2" t="s">
        <v>63</v>
      </c>
      <c r="L5" s="2" t="s">
        <v>64</v>
      </c>
    </row>
    <row r="6" spans="2:14" ht="15.75" thickTop="1" x14ac:dyDescent="0.25">
      <c r="B6" s="23">
        <v>9</v>
      </c>
      <c r="C6" s="78" t="s">
        <v>65</v>
      </c>
      <c r="D6" s="4" t="s">
        <v>54</v>
      </c>
      <c r="E6" s="24" t="s">
        <v>19</v>
      </c>
      <c r="F6" s="24" t="s">
        <v>19</v>
      </c>
      <c r="G6" s="24" t="s">
        <v>28</v>
      </c>
      <c r="H6" s="24" t="s">
        <v>19</v>
      </c>
      <c r="I6" s="85" t="s">
        <v>19</v>
      </c>
      <c r="J6" s="86"/>
      <c r="K6" s="24" t="s">
        <v>19</v>
      </c>
      <c r="L6" s="23" t="s">
        <v>19</v>
      </c>
    </row>
    <row r="7" spans="2:14" x14ac:dyDescent="0.25">
      <c r="B7" s="23">
        <v>10</v>
      </c>
      <c r="C7" s="78"/>
      <c r="D7" s="4" t="s">
        <v>66</v>
      </c>
      <c r="E7" s="23">
        <v>5</v>
      </c>
      <c r="F7" s="23">
        <v>6</v>
      </c>
      <c r="G7" s="23" t="s">
        <v>28</v>
      </c>
      <c r="H7" s="23" t="s">
        <v>19</v>
      </c>
      <c r="I7" s="74" t="s">
        <v>19</v>
      </c>
      <c r="J7" s="75"/>
      <c r="K7" s="23" t="s">
        <v>19</v>
      </c>
      <c r="L7" s="23" t="s">
        <v>19</v>
      </c>
    </row>
    <row r="8" spans="2:14" x14ac:dyDescent="0.25">
      <c r="B8" s="23">
        <v>11</v>
      </c>
      <c r="C8" s="78"/>
      <c r="D8" s="10" t="s">
        <v>19</v>
      </c>
      <c r="E8" s="23" t="s">
        <v>19</v>
      </c>
      <c r="F8" s="23" t="s">
        <v>19</v>
      </c>
      <c r="G8" s="23" t="s">
        <v>28</v>
      </c>
      <c r="H8" s="23" t="s">
        <v>19</v>
      </c>
      <c r="I8" s="74" t="s">
        <v>19</v>
      </c>
      <c r="J8" s="75"/>
      <c r="K8" s="23" t="s">
        <v>19</v>
      </c>
      <c r="L8" s="23" t="s">
        <v>19</v>
      </c>
    </row>
    <row r="9" spans="2:14" x14ac:dyDescent="0.25">
      <c r="B9" s="23">
        <v>12</v>
      </c>
      <c r="C9" s="78"/>
      <c r="D9" s="10" t="s">
        <v>19</v>
      </c>
      <c r="E9" s="23" t="s">
        <v>19</v>
      </c>
      <c r="F9" s="23" t="s">
        <v>19</v>
      </c>
      <c r="G9" s="23" t="s">
        <v>28</v>
      </c>
      <c r="H9" s="23" t="s">
        <v>19</v>
      </c>
      <c r="I9" s="74" t="s">
        <v>19</v>
      </c>
      <c r="J9" s="75"/>
      <c r="K9" s="23" t="s">
        <v>19</v>
      </c>
      <c r="L9" s="23" t="s">
        <v>19</v>
      </c>
    </row>
    <row r="10" spans="2:14" ht="15.75" thickBot="1" x14ac:dyDescent="0.3">
      <c r="B10" s="2">
        <v>13</v>
      </c>
      <c r="C10" s="79"/>
      <c r="D10" s="9" t="s">
        <v>19</v>
      </c>
      <c r="E10" s="2" t="s">
        <v>19</v>
      </c>
      <c r="F10" s="2" t="s">
        <v>19</v>
      </c>
      <c r="G10" s="2" t="s">
        <v>28</v>
      </c>
      <c r="H10" s="2" t="s">
        <v>19</v>
      </c>
      <c r="I10" s="76" t="s">
        <v>19</v>
      </c>
      <c r="J10" s="77"/>
      <c r="K10" s="2" t="s">
        <v>19</v>
      </c>
      <c r="L10" s="2" t="s">
        <v>19</v>
      </c>
    </row>
    <row r="11" spans="2:14" ht="15.75" thickTop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.75" thickBot="1" x14ac:dyDescent="0.3">
      <c r="B12" s="3" t="s">
        <v>67</v>
      </c>
      <c r="K12" s="25"/>
    </row>
    <row r="13" spans="2:14" ht="16.5" thickTop="1" thickBot="1" x14ac:dyDescent="0.3">
      <c r="B13" s="69" t="s">
        <v>68</v>
      </c>
      <c r="C13" s="70"/>
      <c r="D13" s="70"/>
      <c r="E13" s="70"/>
      <c r="F13" s="87" t="s">
        <v>69</v>
      </c>
      <c r="G13" s="88"/>
      <c r="H13" s="69" t="s">
        <v>70</v>
      </c>
      <c r="I13" s="70"/>
      <c r="J13" s="70"/>
      <c r="K13" s="70"/>
      <c r="L13" s="97"/>
      <c r="M13" s="102" t="s">
        <v>71</v>
      </c>
      <c r="N13" s="103"/>
    </row>
    <row r="14" spans="2:14" ht="15.75" thickTop="1" x14ac:dyDescent="0.25">
      <c r="B14" s="101" t="s">
        <v>72</v>
      </c>
      <c r="C14" s="93" t="s">
        <v>73</v>
      </c>
      <c r="D14" s="93" t="s">
        <v>74</v>
      </c>
      <c r="E14" s="105" t="s">
        <v>75</v>
      </c>
      <c r="F14" s="90" t="s">
        <v>76</v>
      </c>
      <c r="G14" s="89" t="s">
        <v>77</v>
      </c>
      <c r="H14" s="91" t="s">
        <v>78</v>
      </c>
      <c r="I14" s="93" t="s">
        <v>72</v>
      </c>
      <c r="J14" s="93" t="s">
        <v>73</v>
      </c>
      <c r="K14" s="95" t="s">
        <v>79</v>
      </c>
      <c r="L14" s="98" t="s">
        <v>80</v>
      </c>
      <c r="M14" s="100" t="s">
        <v>81</v>
      </c>
      <c r="N14" s="81" t="s">
        <v>82</v>
      </c>
    </row>
    <row r="15" spans="2:14" x14ac:dyDescent="0.25">
      <c r="B15" s="104"/>
      <c r="C15" s="94"/>
      <c r="D15" s="94"/>
      <c r="E15" s="106"/>
      <c r="F15" s="107"/>
      <c r="G15" s="89"/>
      <c r="H15" s="92"/>
      <c r="I15" s="94"/>
      <c r="J15" s="94"/>
      <c r="K15" s="96"/>
      <c r="L15" s="99"/>
      <c r="M15" s="101"/>
      <c r="N15" s="90"/>
    </row>
    <row r="16" spans="2:14" x14ac:dyDescent="0.25">
      <c r="B16" s="29">
        <f>SUM(C16:D16)</f>
        <v>0</v>
      </c>
      <c r="C16" s="26">
        <v>0</v>
      </c>
      <c r="D16" s="26">
        <v>0</v>
      </c>
      <c r="E16" s="27"/>
      <c r="F16" s="28"/>
      <c r="G16" s="8" t="s">
        <v>83</v>
      </c>
      <c r="H16" s="7" t="s">
        <v>83</v>
      </c>
      <c r="I16" s="29">
        <f>SUM(J16:K16)</f>
        <v>0</v>
      </c>
      <c r="J16" s="26">
        <v>0</v>
      </c>
      <c r="K16" s="30">
        <v>0</v>
      </c>
      <c r="L16" s="31"/>
      <c r="M16" s="6" t="s">
        <v>83</v>
      </c>
      <c r="N16" s="32">
        <f>C16</f>
        <v>0</v>
      </c>
    </row>
  </sheetData>
  <mergeCells count="31"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2026-04-06T11:00:58Z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